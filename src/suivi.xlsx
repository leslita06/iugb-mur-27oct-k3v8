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Reponses" sheetId="2" state="visible" r:id="rId2"/>
    <sheet xmlns:r="http://schemas.openxmlformats.org/officeDocument/2006/relationships" name="Mode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b val="1"/>
      <color rgb="00002868"/>
    </font>
  </fonts>
  <fills count="4">
    <fill>
      <patternFill/>
    </fill>
    <fill>
      <patternFill patternType="gray125"/>
    </fill>
    <fill>
      <patternFill patternType="solid">
        <fgColor rgb="00002868"/>
      </patternFill>
    </fill>
    <fill>
      <patternFill patternType="solid">
        <fgColor rgb="00FFF8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  <dxf>
      <fill>
        <patternFill patternType="solid">
          <fgColor rgb="00FFF3B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tabSelected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Indicateur</t>
        </is>
      </c>
      <c r="B1" s="1" t="inlineStr">
        <is>
          <t>Par téléphone</t>
        </is>
      </c>
      <c r="C1" s="1" t="inlineStr">
        <is>
          <t>À main levée</t>
        </is>
      </c>
      <c r="D1" s="1" t="inlineStr">
        <is>
          <t>Total</t>
        </is>
      </c>
    </row>
    <row r="2">
      <c r="A2" t="inlineStr">
        <is>
          <t>Répondants (formulaire)</t>
        </is>
      </c>
      <c r="B2">
        <f>COUNTA(Reponses!A2:A1000)</f>
        <v/>
      </c>
      <c r="C2" t="inlineStr"/>
      <c r="D2" t="inlineStr"/>
    </row>
    <row r="3">
      <c r="A3" s="2" t="inlineStr">
        <is>
          <t>Q1 · Avez-vous déjà vendu quelque chose ?</t>
        </is>
      </c>
      <c r="B3" t="inlineStr"/>
      <c r="C3" t="inlineStr"/>
      <c r="D3" t="inlineStr"/>
    </row>
    <row r="4">
      <c r="A4" t="inlineStr">
        <is>
          <t>Oui, régulièrement</t>
        </is>
      </c>
      <c r="B4">
        <f>COUNTIF(Reponses!C2:C1000,"Oui, régulièrement")</f>
        <v/>
      </c>
      <c r="C4" s="3" t="n">
        <v>0</v>
      </c>
      <c r="D4">
        <f>B4+C4</f>
        <v/>
      </c>
    </row>
    <row r="5">
      <c r="A5" t="inlineStr">
        <is>
          <t>Oui, une ou deux fois</t>
        </is>
      </c>
      <c r="B5">
        <f>COUNTIF(Reponses!C2:C1000,"Oui, une ou deux fois")</f>
        <v/>
      </c>
      <c r="C5" s="3" t="n">
        <v>0</v>
      </c>
      <c r="D5">
        <f>B5+C5</f>
        <v/>
      </c>
    </row>
    <row r="6">
      <c r="A6" t="inlineStr">
        <is>
          <t>Jamais</t>
        </is>
      </c>
      <c r="B6">
        <f>COUNTIF(Reponses!C2:C1000,"Jamais")</f>
        <v/>
      </c>
      <c r="C6" s="3" t="n">
        <v>0</v>
      </c>
      <c r="D6">
        <f>B6+C6</f>
        <v/>
      </c>
    </row>
    <row r="7">
      <c r="A7" s="2" t="inlineStr">
        <is>
          <t>Q2 · Le frein principal</t>
        </is>
      </c>
      <c r="B7" t="inlineStr"/>
      <c r="C7" t="inlineStr"/>
      <c r="D7" t="inlineStr"/>
    </row>
    <row r="8">
      <c r="A8" t="inlineStr">
        <is>
          <t>Le financement</t>
        </is>
      </c>
      <c r="B8">
        <f>COUNTIF(Reponses!D2:D1000,"Le financement")</f>
        <v/>
      </c>
      <c r="C8" s="3" t="n">
        <v>0</v>
      </c>
      <c r="D8">
        <f>B8+C8</f>
        <v/>
      </c>
    </row>
    <row r="9">
      <c r="A9" t="inlineStr">
        <is>
          <t>Trouver la bonne idée</t>
        </is>
      </c>
      <c r="B9">
        <f>COUNTIF(Reponses!D2:D1000,"Trouver la bonne idée")</f>
        <v/>
      </c>
      <c r="C9" s="3" t="n">
        <v>0</v>
      </c>
      <c r="D9">
        <f>B9+C9</f>
        <v/>
      </c>
    </row>
    <row r="10">
      <c r="A10" t="inlineStr">
        <is>
          <t>La peur d'échouer</t>
        </is>
      </c>
      <c r="B10">
        <f>COUNTIF(Reponses!D2:D1000,"La peur d'échouer")</f>
        <v/>
      </c>
      <c r="C10" s="3" t="n">
        <v>0</v>
      </c>
      <c r="D10">
        <f>B10+C10</f>
        <v/>
      </c>
    </row>
    <row r="11">
      <c r="A11" t="inlineStr">
        <is>
          <t>Le temps (les études)</t>
        </is>
      </c>
      <c r="B11">
        <f>COUNTIF(Reponses!D2:D1000,"Le temps (les études)")</f>
        <v/>
      </c>
      <c r="C11" s="3" t="n">
        <v>0</v>
      </c>
      <c r="D11">
        <f>B11+C11</f>
        <v/>
      </c>
    </row>
    <row r="12">
      <c r="A12" t="inlineStr">
        <is>
          <t>Le manque d'accompagnement</t>
        </is>
      </c>
      <c r="B12">
        <f>COUNTIF(Reponses!D2:D1000,"Le manque d'accompagnement")</f>
        <v/>
      </c>
      <c r="C12" s="3" t="n">
        <v>0</v>
      </c>
      <c r="D12">
        <f>B12+C12</f>
        <v/>
      </c>
    </row>
    <row r="13">
      <c r="A13" s="2" t="inlineStr">
        <is>
          <t>Q3 · Mots en attente de validation</t>
        </is>
      </c>
      <c r="B13">
        <f>COUNTIF(Moderation!C2:C1000,"À valider")</f>
        <v/>
      </c>
      <c r="C13" t="inlineStr"/>
      <c r="D13" t="inlineStr"/>
    </row>
    <row r="14">
      <c r="A14" s="2" t="inlineStr">
        <is>
          <t>Q3 · Mots affichés</t>
        </is>
      </c>
      <c r="B14">
        <f>COUNTIF(Moderation!C2:C1000,"Afficher")</f>
        <v/>
      </c>
      <c r="C14" t="inlineStr"/>
      <c r="D14" t="inlineStr"/>
    </row>
    <row r="15">
      <c r="A15" t="inlineStr">
        <is>
          <t>Dernière mise à jour</t>
        </is>
      </c>
      <c r="B15" t="inlineStr"/>
      <c r="C15" t="inlineStr"/>
      <c r="D15" t="inlineStr"/>
    </row>
    <row r="17">
      <c r="A17" s="2" t="inlineStr">
        <is>
          <t>Mode d'emploi</t>
        </is>
      </c>
    </row>
    <row r="18">
      <c r="A18" t="inlineStr">
        <is>
          <t>Les onglets Reponses et Moderation se remplissent tout seuls chaque minute : ne pas trier ni effacer les colonnes.</t>
        </is>
      </c>
    </row>
    <row r="19">
      <c r="A19" t="inlineStr">
        <is>
          <t>Moderation : passer chaque mot en « Afficher » ou « Masquer ». Seuls les mots « Afficher » apparaissent à l'écran.</t>
        </is>
      </c>
    </row>
    <row r="20">
      <c r="A20" t="inlineStr">
        <is>
          <t>Cases jaunes (colonne C) : à remplir à la main seulement si on bascule au vote à main levée.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28" customWidth="1" min="4" max="4"/>
    <col width="22" customWidth="1" min="5" max="5"/>
    <col width="22" customWidth="1" min="6" max="6"/>
    <col width="14" customWidth="1" min="7" max="7"/>
  </cols>
  <sheetData>
    <row r="1">
      <c r="A1" s="1" t="inlineStr">
        <is>
          <t>Identifiant</t>
        </is>
      </c>
      <c r="B1" s="1" t="inlineStr">
        <is>
          <t>Heure</t>
        </is>
      </c>
      <c r="C1" s="1" t="inlineStr">
        <is>
          <t>Q1 Déjà vendu</t>
        </is>
      </c>
      <c r="D1" s="1" t="inlineStr">
        <is>
          <t>Q2 Frein principal</t>
        </is>
      </c>
      <c r="E1" s="1" t="inlineStr">
        <is>
          <t>Q3 Mot brut</t>
        </is>
      </c>
      <c r="F1" s="1" t="inlineStr">
        <is>
          <t>Q3 Mot normalisé</t>
        </is>
      </c>
      <c r="G1" s="1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</cols>
  <sheetData>
    <row r="1">
      <c r="A1" s="1" t="inlineStr">
        <is>
          <t>Mot (normalisé)</t>
        </is>
      </c>
      <c r="B1" s="1" t="inlineStr">
        <is>
          <t>Nombre de réponses</t>
        </is>
      </c>
      <c r="C1" s="1" t="inlineStr">
        <is>
          <t>Statut</t>
        </is>
      </c>
    </row>
  </sheetData>
  <conditionalFormatting sqref="C2:C1000">
    <cfRule type="cellIs" priority="1" operator="equal" dxfId="0">
      <formula>"Afficher"</formula>
    </cfRule>
    <cfRule type="cellIs" priority="2" operator="equal" dxfId="1">
      <formula>"Masquer"</formula>
    </cfRule>
    <cfRule type="cellIs" priority="3" operator="equal" dxfId="2">
      <formula>"À valider"</formula>
    </cfRule>
  </conditionalFormatting>
  <dataValidations count="1">
    <dataValidation sqref="C2:C1000" showDropDown="0" showInputMessage="0" showErrorMessage="0" allowBlank="1" type="list">
      <formula1>"À valider,Afficher,Masquer"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2026-10-26T10:38:18Z</dcterms:created>
  <dcterms:modified xmlns:dcterms="http://purl.org/dc/terms/" xmlns:xsi="http://www.w3.org/2001/XMLSchema-instance" xsi:type="dcterms:W3CDTF">2026-10-26T10:38:18Z</dcterms:modified>
</cp:coreProperties>
</file>